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 activeTab="2"/>
  </bookViews>
  <sheets>
    <sheet name="product price list" sheetId="1" r:id="rId1"/>
    <sheet name="DAILY SALES ENTRY" sheetId="2" r:id="rId2"/>
    <sheet name="DASHBOARD" sheetId="4" r:id="rId3"/>
  </sheets>
  <calcPr calcId="124519"/>
  <pivotCaches>
    <pivotCache cacheId="7" r:id="rId4"/>
  </pivotCaches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/>
  <c r="E13"/>
  <c r="E17"/>
  <c r="E2"/>
  <c r="D3"/>
  <c r="E3" s="1"/>
  <c r="D4"/>
  <c r="E4" s="1"/>
  <c r="D5"/>
  <c r="E5" s="1"/>
  <c r="D6"/>
  <c r="E6" s="1"/>
  <c r="D7"/>
  <c r="E7" s="1"/>
  <c r="D8"/>
  <c r="E8" s="1"/>
  <c r="D9"/>
  <c r="D10"/>
  <c r="E10" s="1"/>
  <c r="D11"/>
  <c r="E11" s="1"/>
  <c r="D12"/>
  <c r="E12" s="1"/>
  <c r="D13"/>
  <c r="D14"/>
  <c r="E14" s="1"/>
  <c r="D15"/>
  <c r="E15" s="1"/>
  <c r="D16"/>
  <c r="E16" s="1"/>
  <c r="D17"/>
  <c r="D18"/>
  <c r="E18" s="1"/>
  <c r="D19"/>
  <c r="E19" s="1"/>
  <c r="D20"/>
  <c r="E20" s="1"/>
  <c r="D2"/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"/>
  <c r="D3"/>
  <c r="D4"/>
  <c r="D5"/>
  <c r="D6"/>
  <c r="D7"/>
  <c r="D8"/>
  <c r="D9"/>
  <c r="D10"/>
  <c r="D11"/>
  <c r="D12"/>
  <c r="D13"/>
  <c r="D14"/>
  <c r="D15"/>
  <c r="D16"/>
  <c r="D17"/>
  <c r="D18"/>
  <c r="D19"/>
  <c r="D20"/>
  <c r="D2"/>
</calcChain>
</file>

<file path=xl/sharedStrings.xml><?xml version="1.0" encoding="utf-8"?>
<sst xmlns="http://schemas.openxmlformats.org/spreadsheetml/2006/main" count="71" uniqueCount="33">
  <si>
    <t>Product Name</t>
  </si>
  <si>
    <t>Buying price (Rupees)</t>
  </si>
  <si>
    <t>Selling price</t>
  </si>
  <si>
    <t>GST(%)</t>
  </si>
  <si>
    <t>FINAL PRICE</t>
  </si>
  <si>
    <t>Floor cleaner</t>
  </si>
  <si>
    <t>bleaching powder</t>
  </si>
  <si>
    <t>glass cleaner</t>
  </si>
  <si>
    <t>Naoh</t>
  </si>
  <si>
    <t>sodium hypochloride</t>
  </si>
  <si>
    <t>handwash</t>
  </si>
  <si>
    <t>room freshner</t>
  </si>
  <si>
    <t>sanitary cubes</t>
  </si>
  <si>
    <t>napthalene balls</t>
  </si>
  <si>
    <t>tissue packs</t>
  </si>
  <si>
    <t>napkins</t>
  </si>
  <si>
    <t xml:space="preserve">mop </t>
  </si>
  <si>
    <t>broom</t>
  </si>
  <si>
    <t>scrubber</t>
  </si>
  <si>
    <t>sponge</t>
  </si>
  <si>
    <t>aromas</t>
  </si>
  <si>
    <t>sanitizer</t>
  </si>
  <si>
    <t>oil remover</t>
  </si>
  <si>
    <t>detergent</t>
  </si>
  <si>
    <t>Profit margin(%)</t>
  </si>
  <si>
    <t>DATE</t>
  </si>
  <si>
    <t>PRODUCT NAME</t>
  </si>
  <si>
    <t>QUANTITY SOLD</t>
  </si>
  <si>
    <t>SELLING PRICE</t>
  </si>
  <si>
    <t>TOTAL AMOUNT</t>
  </si>
  <si>
    <t>Row Labels</t>
  </si>
  <si>
    <t>Grand Total</t>
  </si>
  <si>
    <t>Sum of TOTAL 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</si>
</sst>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numFmt numFmtId="21" formatCode="dd/mmm"/>
      <alignment horizontal="center" vertical="bottom" textRotation="0" wrapText="0" indent="0" relativeIndent="0" justifyLastLine="0" shrinkToFit="0" mergeCell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DASHBOARD PROJECT.xlsx]DASHBOARD!PivotTable2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b="1" i="1">
                <a:solidFill>
                  <a:srgbClr val="FF0000"/>
                </a:solidFill>
              </a:rPr>
              <a:t>SALES BY PRODUCT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9580772261623326"/>
          <c:y val="2.7777777777777776E-2"/>
        </c:manualLayout>
      </c:layout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2794934321153119E-2"/>
          <c:y val="0.19571741032370948"/>
          <c:w val="0.83120108213423671"/>
          <c:h val="0.41333369787109947"/>
        </c:manualLayout>
      </c:layout>
      <c:barChart>
        <c:barDir val="col"/>
        <c:grouping val="clustered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DASHBOARD!$A$4:$A$23</c:f>
              <c:strCache>
                <c:ptCount val="19"/>
                <c:pt idx="0">
                  <c:v>aromas</c:v>
                </c:pt>
                <c:pt idx="1">
                  <c:v>bleaching powder</c:v>
                </c:pt>
                <c:pt idx="2">
                  <c:v>broom</c:v>
                </c:pt>
                <c:pt idx="3">
                  <c:v>detergent</c:v>
                </c:pt>
                <c:pt idx="4">
                  <c:v>Floor cleaner</c:v>
                </c:pt>
                <c:pt idx="5">
                  <c:v>glass cleaner</c:v>
                </c:pt>
                <c:pt idx="6">
                  <c:v>handwash</c:v>
                </c:pt>
                <c:pt idx="7">
                  <c:v>mop </c:v>
                </c:pt>
                <c:pt idx="8">
                  <c:v>Naoh</c:v>
                </c:pt>
                <c:pt idx="9">
                  <c:v>napkins</c:v>
                </c:pt>
                <c:pt idx="10">
                  <c:v>napthalene balls</c:v>
                </c:pt>
                <c:pt idx="11">
                  <c:v>oil remover</c:v>
                </c:pt>
                <c:pt idx="12">
                  <c:v>room freshner</c:v>
                </c:pt>
                <c:pt idx="13">
                  <c:v>sanitary cubes</c:v>
                </c:pt>
                <c:pt idx="14">
                  <c:v>sanitizer</c:v>
                </c:pt>
                <c:pt idx="15">
                  <c:v>scrubber</c:v>
                </c:pt>
                <c:pt idx="16">
                  <c:v>sodium hypochloride</c:v>
                </c:pt>
                <c:pt idx="17">
                  <c:v>sponge</c:v>
                </c:pt>
                <c:pt idx="18">
                  <c:v>tissue packs</c:v>
                </c:pt>
              </c:strCache>
            </c:strRef>
          </c:cat>
          <c:val>
            <c:numRef>
              <c:f>DASHBOARD!$B$4:$B$23</c:f>
              <c:numCache>
                <c:formatCode>General</c:formatCode>
                <c:ptCount val="19"/>
                <c:pt idx="0">
                  <c:v>544.5</c:v>
                </c:pt>
                <c:pt idx="1">
                  <c:v>5500.5</c:v>
                </c:pt>
                <c:pt idx="2">
                  <c:v>5250</c:v>
                </c:pt>
                <c:pt idx="3">
                  <c:v>8209.5</c:v>
                </c:pt>
                <c:pt idx="4">
                  <c:v>2817</c:v>
                </c:pt>
                <c:pt idx="5">
                  <c:v>1701</c:v>
                </c:pt>
                <c:pt idx="6">
                  <c:v>3007.5</c:v>
                </c:pt>
                <c:pt idx="7">
                  <c:v>6547.5</c:v>
                </c:pt>
                <c:pt idx="8">
                  <c:v>9022.5</c:v>
                </c:pt>
                <c:pt idx="9">
                  <c:v>3135</c:v>
                </c:pt>
                <c:pt idx="10">
                  <c:v>1426.5</c:v>
                </c:pt>
                <c:pt idx="11">
                  <c:v>2116.5</c:v>
                </c:pt>
                <c:pt idx="12">
                  <c:v>9537</c:v>
                </c:pt>
                <c:pt idx="13">
                  <c:v>4108.5</c:v>
                </c:pt>
                <c:pt idx="14">
                  <c:v>4941</c:v>
                </c:pt>
                <c:pt idx="15">
                  <c:v>2874</c:v>
                </c:pt>
                <c:pt idx="16">
                  <c:v>3300</c:v>
                </c:pt>
                <c:pt idx="17">
                  <c:v>9360</c:v>
                </c:pt>
                <c:pt idx="18">
                  <c:v>8820</c:v>
                </c:pt>
              </c:numCache>
            </c:numRef>
          </c:val>
        </c:ser>
        <c:axId val="245680000"/>
        <c:axId val="265344128"/>
      </c:barChart>
      <c:catAx>
        <c:axId val="245680000"/>
        <c:scaling>
          <c:orientation val="minMax"/>
        </c:scaling>
        <c:axPos val="b"/>
        <c:tickLblPos val="nextTo"/>
        <c:txPr>
          <a:bodyPr/>
          <a:lstStyle/>
          <a:p>
            <a:pPr>
              <a:defRPr b="1">
                <a:solidFill>
                  <a:schemeClr val="accent2">
                    <a:lumMod val="75000"/>
                  </a:schemeClr>
                </a:solidFill>
                <a:latin typeface="+mn-lt"/>
              </a:defRPr>
            </a:pPr>
            <a:endParaRPr lang="en-US"/>
          </a:p>
        </c:txPr>
        <c:crossAx val="265344128"/>
        <c:crosses val="autoZero"/>
        <c:auto val="1"/>
        <c:lblAlgn val="ctr"/>
        <c:lblOffset val="100"/>
      </c:catAx>
      <c:valAx>
        <c:axId val="26534412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1200">
                <a:solidFill>
                  <a:schemeClr val="accent2">
                    <a:lumMod val="75000"/>
                  </a:schemeClr>
                </a:solidFill>
              </a:defRPr>
            </a:pPr>
            <a:endParaRPr lang="en-US"/>
          </a:p>
        </c:txPr>
        <c:crossAx val="245680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3</xdr:row>
      <xdr:rowOff>133350</xdr:rowOff>
    </xdr:from>
    <xdr:to>
      <xdr:col>9</xdr:col>
      <xdr:colOff>142875</xdr:colOff>
      <xdr:row>18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fia" refreshedDate="45968.569925694443" createdVersion="3" refreshedVersion="3" minRefreshableVersion="3" recordCount="19">
  <cacheSource type="worksheet">
    <worksheetSource name="Table1"/>
  </cacheSource>
  <cacheFields count="5">
    <cacheField name="DATE" numFmtId="16">
      <sharedItems containsSemiMixedTypes="0" containsNonDate="0" containsDate="1" containsString="0" minDate="2025-02-01T00:00:00" maxDate="2025-02-20T00:00:00" count="19"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</sharedItems>
    </cacheField>
    <cacheField name="PRODUCT NAME" numFmtId="0">
      <sharedItems count="19">
        <s v="Floor cleaner"/>
        <s v="bleaching powder"/>
        <s v="glass cleaner"/>
        <s v="Naoh"/>
        <s v="sodium hypochloride"/>
        <s v="handwash"/>
        <s v="room freshner"/>
        <s v="sanitary cubes"/>
        <s v="napthalene balls"/>
        <s v="tissue packs"/>
        <s v="napkins"/>
        <s v="mop "/>
        <s v="broom"/>
        <s v="scrubber"/>
        <s v="sponge"/>
        <s v="aromas"/>
        <s v="sanitizer"/>
        <s v="oil remover"/>
        <s v="detergent"/>
      </sharedItems>
    </cacheField>
    <cacheField name="QUANTITY SOLD" numFmtId="0">
      <sharedItems containsSemiMixedTypes="0" containsString="0" containsNumber="1" containsInteger="1" minValue="3" maxValue="20"/>
    </cacheField>
    <cacheField name="SELLING PRICE" numFmtId="0">
      <sharedItems containsSemiMixedTypes="0" containsString="0" containsNumber="1" minValue="124.5" maxValue="735"/>
    </cacheField>
    <cacheField name="TOTAL AMOUNT" numFmtId="0">
      <sharedItems containsSemiMixedTypes="0" containsString="0" containsNumber="1" minValue="544.5" maxValue="953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n v="6"/>
    <n v="469.5"/>
    <n v="2817"/>
  </r>
  <r>
    <x v="1"/>
    <x v="1"/>
    <n v="19"/>
    <n v="289.5"/>
    <n v="5500.5"/>
  </r>
  <r>
    <x v="2"/>
    <x v="2"/>
    <n v="7"/>
    <n v="243"/>
    <n v="1701"/>
  </r>
  <r>
    <x v="3"/>
    <x v="3"/>
    <n v="15"/>
    <n v="601.5"/>
    <n v="9022.5"/>
  </r>
  <r>
    <x v="4"/>
    <x v="4"/>
    <n v="20"/>
    <n v="165"/>
    <n v="3300"/>
  </r>
  <r>
    <x v="5"/>
    <x v="5"/>
    <n v="5"/>
    <n v="601.5"/>
    <n v="3007.5"/>
  </r>
  <r>
    <x v="6"/>
    <x v="6"/>
    <n v="17"/>
    <n v="561"/>
    <n v="9537"/>
  </r>
  <r>
    <x v="7"/>
    <x v="7"/>
    <n v="11"/>
    <n v="373.5"/>
    <n v="4108.5"/>
  </r>
  <r>
    <x v="8"/>
    <x v="8"/>
    <n v="3"/>
    <n v="475.5"/>
    <n v="1426.5"/>
  </r>
  <r>
    <x v="9"/>
    <x v="9"/>
    <n v="12"/>
    <n v="735"/>
    <n v="8820"/>
  </r>
  <r>
    <x v="10"/>
    <x v="10"/>
    <n v="10"/>
    <n v="313.5"/>
    <n v="3135"/>
  </r>
  <r>
    <x v="11"/>
    <x v="11"/>
    <n v="9"/>
    <n v="727.5"/>
    <n v="6547.5"/>
  </r>
  <r>
    <x v="12"/>
    <x v="12"/>
    <n v="10"/>
    <n v="525"/>
    <n v="5250"/>
  </r>
  <r>
    <x v="13"/>
    <x v="13"/>
    <n v="4"/>
    <n v="718.5"/>
    <n v="2874"/>
  </r>
  <r>
    <x v="14"/>
    <x v="14"/>
    <n v="20"/>
    <n v="468"/>
    <n v="9360"/>
  </r>
  <r>
    <x v="15"/>
    <x v="15"/>
    <n v="3"/>
    <n v="181.5"/>
    <n v="544.5"/>
  </r>
  <r>
    <x v="16"/>
    <x v="16"/>
    <n v="18"/>
    <n v="274.5"/>
    <n v="4941"/>
  </r>
  <r>
    <x v="17"/>
    <x v="17"/>
    <n v="17"/>
    <n v="124.5"/>
    <n v="2116.5"/>
  </r>
  <r>
    <x v="18"/>
    <x v="18"/>
    <n v="13"/>
    <n v="631.5"/>
    <n v="820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23" firstHeaderRow="1" firstDataRow="1" firstDataCol="1"/>
  <pivotFields count="5">
    <pivotField numFmtId="16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20">
        <item x="15"/>
        <item x="1"/>
        <item x="12"/>
        <item x="18"/>
        <item x="0"/>
        <item x="2"/>
        <item x="5"/>
        <item x="11"/>
        <item x="3"/>
        <item x="10"/>
        <item x="8"/>
        <item x="17"/>
        <item x="6"/>
        <item x="7"/>
        <item x="16"/>
        <item x="13"/>
        <item x="4"/>
        <item x="14"/>
        <item x="9"/>
        <item t="default"/>
      </items>
    </pivotField>
    <pivotField showAll="0"/>
    <pivotField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TOTAL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20" totalsRowShown="0">
  <autoFilter ref="A1:E20"/>
  <tableColumns count="5">
    <tableColumn id="1" name="DATE" dataDxfId="1"/>
    <tableColumn id="2" name="PRODUCT NAME" dataDxfId="0"/>
    <tableColumn id="3" name="QUANTITY SOLD"/>
    <tableColumn id="4" name="SELLING PRICE">
      <calculatedColumnFormula>VLOOKUP(B2,'product price list'!$A:$F,4,FALSE)</calculatedColumnFormula>
    </tableColumn>
    <tableColumn id="5" name="TOTAL AMOUNT">
      <calculatedColumnFormula>C2*D2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D2" sqref="D2:D20"/>
    </sheetView>
  </sheetViews>
  <sheetFormatPr defaultRowHeight="15"/>
  <cols>
    <col min="1" max="1" width="22.140625" customWidth="1"/>
    <col min="2" max="2" width="20.5703125" bestFit="1" customWidth="1"/>
    <col min="3" max="3" width="19.7109375" customWidth="1"/>
    <col min="4" max="4" width="15" customWidth="1"/>
    <col min="5" max="5" width="14.42578125" customWidth="1"/>
    <col min="6" max="6" width="16.7109375" customWidth="1"/>
  </cols>
  <sheetData>
    <row r="1" spans="1:6" ht="15.75">
      <c r="A1" t="s">
        <v>0</v>
      </c>
      <c r="B1" t="s">
        <v>1</v>
      </c>
      <c r="C1" s="1" t="s">
        <v>24</v>
      </c>
      <c r="D1" t="s">
        <v>2</v>
      </c>
      <c r="E1" t="s">
        <v>3</v>
      </c>
      <c r="F1" t="s">
        <v>4</v>
      </c>
    </row>
    <row r="2" spans="1:6" ht="15.75">
      <c r="A2" s="1" t="s">
        <v>5</v>
      </c>
      <c r="B2">
        <v>313</v>
      </c>
      <c r="C2">
        <v>50</v>
      </c>
      <c r="D2">
        <f>B2*(1+(C2/100))</f>
        <v>469.5</v>
      </c>
      <c r="E2">
        <v>18</v>
      </c>
      <c r="F2">
        <f>D2*(1+(E2/100))</f>
        <v>554.01</v>
      </c>
    </row>
    <row r="3" spans="1:6" ht="15.75">
      <c r="A3" s="1" t="s">
        <v>6</v>
      </c>
      <c r="B3">
        <v>193</v>
      </c>
      <c r="C3">
        <v>50</v>
      </c>
      <c r="D3">
        <f t="shared" ref="D3:D20" si="0">B3*(1+(C3/100))</f>
        <v>289.5</v>
      </c>
      <c r="E3">
        <v>18</v>
      </c>
      <c r="F3">
        <f t="shared" ref="F3:F20" si="1">D3*(1+(E3/100))</f>
        <v>341.60999999999996</v>
      </c>
    </row>
    <row r="4" spans="1:6" ht="15.75">
      <c r="A4" s="1" t="s">
        <v>7</v>
      </c>
      <c r="B4">
        <v>162</v>
      </c>
      <c r="C4">
        <v>50</v>
      </c>
      <c r="D4">
        <f t="shared" si="0"/>
        <v>243</v>
      </c>
      <c r="E4">
        <v>18</v>
      </c>
      <c r="F4">
        <f t="shared" si="1"/>
        <v>286.74</v>
      </c>
    </row>
    <row r="5" spans="1:6" ht="15.75">
      <c r="A5" s="1" t="s">
        <v>8</v>
      </c>
      <c r="B5">
        <v>401</v>
      </c>
      <c r="C5">
        <v>50</v>
      </c>
      <c r="D5">
        <f t="shared" si="0"/>
        <v>601.5</v>
      </c>
      <c r="E5">
        <v>18</v>
      </c>
      <c r="F5">
        <f t="shared" si="1"/>
        <v>709.77</v>
      </c>
    </row>
    <row r="6" spans="1:6" ht="15.75">
      <c r="A6" s="1" t="s">
        <v>9</v>
      </c>
      <c r="B6">
        <v>110</v>
      </c>
      <c r="C6">
        <v>50</v>
      </c>
      <c r="D6">
        <f t="shared" si="0"/>
        <v>165</v>
      </c>
      <c r="E6">
        <v>18</v>
      </c>
      <c r="F6">
        <f t="shared" si="1"/>
        <v>194.7</v>
      </c>
    </row>
    <row r="7" spans="1:6" ht="15.75">
      <c r="A7" s="1" t="s">
        <v>10</v>
      </c>
      <c r="B7">
        <v>401</v>
      </c>
      <c r="C7">
        <v>50</v>
      </c>
      <c r="D7">
        <f t="shared" si="0"/>
        <v>601.5</v>
      </c>
      <c r="E7">
        <v>18</v>
      </c>
      <c r="F7">
        <f t="shared" si="1"/>
        <v>709.77</v>
      </c>
    </row>
    <row r="8" spans="1:6" ht="15.75">
      <c r="A8" s="1" t="s">
        <v>11</v>
      </c>
      <c r="B8">
        <v>374</v>
      </c>
      <c r="C8">
        <v>50</v>
      </c>
      <c r="D8">
        <f t="shared" si="0"/>
        <v>561</v>
      </c>
      <c r="E8">
        <v>18</v>
      </c>
      <c r="F8">
        <f t="shared" si="1"/>
        <v>661.98</v>
      </c>
    </row>
    <row r="9" spans="1:6" ht="15.75">
      <c r="A9" s="1" t="s">
        <v>12</v>
      </c>
      <c r="B9">
        <v>249</v>
      </c>
      <c r="C9">
        <v>50</v>
      </c>
      <c r="D9">
        <f t="shared" si="0"/>
        <v>373.5</v>
      </c>
      <c r="E9">
        <v>18</v>
      </c>
      <c r="F9">
        <f t="shared" si="1"/>
        <v>440.72999999999996</v>
      </c>
    </row>
    <row r="10" spans="1:6" ht="15.75">
      <c r="A10" s="1" t="s">
        <v>13</v>
      </c>
      <c r="B10">
        <v>317</v>
      </c>
      <c r="C10">
        <v>50</v>
      </c>
      <c r="D10">
        <f t="shared" si="0"/>
        <v>475.5</v>
      </c>
      <c r="E10">
        <v>18</v>
      </c>
      <c r="F10">
        <f t="shared" si="1"/>
        <v>561.08999999999992</v>
      </c>
    </row>
    <row r="11" spans="1:6" ht="15.75">
      <c r="A11" s="1" t="s">
        <v>14</v>
      </c>
      <c r="B11">
        <v>490</v>
      </c>
      <c r="C11">
        <v>50</v>
      </c>
      <c r="D11">
        <f t="shared" si="0"/>
        <v>735</v>
      </c>
      <c r="E11">
        <v>18</v>
      </c>
      <c r="F11">
        <f t="shared" si="1"/>
        <v>867.3</v>
      </c>
    </row>
    <row r="12" spans="1:6" ht="15.75">
      <c r="A12" s="1" t="s">
        <v>15</v>
      </c>
      <c r="B12">
        <v>209</v>
      </c>
      <c r="C12">
        <v>50</v>
      </c>
      <c r="D12">
        <f t="shared" si="0"/>
        <v>313.5</v>
      </c>
      <c r="E12">
        <v>18</v>
      </c>
      <c r="F12">
        <f t="shared" si="1"/>
        <v>369.93</v>
      </c>
    </row>
    <row r="13" spans="1:6" ht="15.75">
      <c r="A13" s="1" t="s">
        <v>16</v>
      </c>
      <c r="B13">
        <v>485</v>
      </c>
      <c r="C13">
        <v>50</v>
      </c>
      <c r="D13">
        <f t="shared" si="0"/>
        <v>727.5</v>
      </c>
      <c r="E13">
        <v>18</v>
      </c>
      <c r="F13">
        <f t="shared" si="1"/>
        <v>858.44999999999993</v>
      </c>
    </row>
    <row r="14" spans="1:6" ht="15.75">
      <c r="A14" s="1" t="s">
        <v>17</v>
      </c>
      <c r="B14">
        <v>350</v>
      </c>
      <c r="C14">
        <v>50</v>
      </c>
      <c r="D14">
        <f t="shared" si="0"/>
        <v>525</v>
      </c>
      <c r="E14">
        <v>18</v>
      </c>
      <c r="F14">
        <f t="shared" si="1"/>
        <v>619.5</v>
      </c>
    </row>
    <row r="15" spans="1:6" ht="15.75">
      <c r="A15" s="1" t="s">
        <v>18</v>
      </c>
      <c r="B15">
        <v>479</v>
      </c>
      <c r="C15">
        <v>50</v>
      </c>
      <c r="D15">
        <f t="shared" si="0"/>
        <v>718.5</v>
      </c>
      <c r="E15">
        <v>18</v>
      </c>
      <c r="F15">
        <f t="shared" si="1"/>
        <v>847.82999999999993</v>
      </c>
    </row>
    <row r="16" spans="1:6" ht="15.75">
      <c r="A16" s="1" t="s">
        <v>19</v>
      </c>
      <c r="B16">
        <v>312</v>
      </c>
      <c r="C16">
        <v>50</v>
      </c>
      <c r="D16">
        <f t="shared" si="0"/>
        <v>468</v>
      </c>
      <c r="E16">
        <v>18</v>
      </c>
      <c r="F16">
        <f t="shared" si="1"/>
        <v>552.24</v>
      </c>
    </row>
    <row r="17" spans="1:6" ht="15.75">
      <c r="A17" s="1" t="s">
        <v>20</v>
      </c>
      <c r="B17">
        <v>121</v>
      </c>
      <c r="C17">
        <v>50</v>
      </c>
      <c r="D17">
        <f t="shared" si="0"/>
        <v>181.5</v>
      </c>
      <c r="E17">
        <v>18</v>
      </c>
      <c r="F17">
        <f t="shared" si="1"/>
        <v>214.17</v>
      </c>
    </row>
    <row r="18" spans="1:6" ht="15.75">
      <c r="A18" s="1" t="s">
        <v>21</v>
      </c>
      <c r="B18">
        <v>183</v>
      </c>
      <c r="C18">
        <v>50</v>
      </c>
      <c r="D18">
        <f t="shared" si="0"/>
        <v>274.5</v>
      </c>
      <c r="E18">
        <v>18</v>
      </c>
      <c r="F18">
        <f t="shared" si="1"/>
        <v>323.90999999999997</v>
      </c>
    </row>
    <row r="19" spans="1:6" ht="15.75">
      <c r="A19" s="1" t="s">
        <v>22</v>
      </c>
      <c r="B19">
        <v>83</v>
      </c>
      <c r="C19">
        <v>50</v>
      </c>
      <c r="D19">
        <f t="shared" si="0"/>
        <v>124.5</v>
      </c>
      <c r="E19">
        <v>18</v>
      </c>
      <c r="F19">
        <f t="shared" si="1"/>
        <v>146.91</v>
      </c>
    </row>
    <row r="20" spans="1:6" ht="15.75">
      <c r="A20" s="1" t="s">
        <v>23</v>
      </c>
      <c r="B20">
        <v>421</v>
      </c>
      <c r="C20">
        <v>50</v>
      </c>
      <c r="D20">
        <f t="shared" si="0"/>
        <v>631.5</v>
      </c>
      <c r="E20">
        <v>18</v>
      </c>
      <c r="F20">
        <f t="shared" si="1"/>
        <v>745.17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selection activeCell="B9" sqref="B9"/>
    </sheetView>
  </sheetViews>
  <sheetFormatPr defaultRowHeight="15"/>
  <cols>
    <col min="1" max="1" width="13.5703125" customWidth="1"/>
    <col min="2" max="2" width="20.7109375" customWidth="1"/>
    <col min="3" max="3" width="17.140625" customWidth="1"/>
    <col min="4" max="4" width="15.5703125" customWidth="1"/>
    <col min="5" max="5" width="18.7109375" customWidth="1"/>
  </cols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ht="15.75">
      <c r="A2" s="2">
        <v>45689</v>
      </c>
      <c r="B2" s="3" t="s">
        <v>5</v>
      </c>
      <c r="C2">
        <v>6</v>
      </c>
      <c r="D2">
        <f>VLOOKUP(B2,'product price list'!$A:$F,4,FALSE)</f>
        <v>469.5</v>
      </c>
      <c r="E2">
        <f>C2*D2</f>
        <v>2817</v>
      </c>
    </row>
    <row r="3" spans="1:5" ht="15.75">
      <c r="A3" s="2">
        <v>45690</v>
      </c>
      <c r="B3" s="3" t="s">
        <v>6</v>
      </c>
      <c r="C3">
        <v>19</v>
      </c>
      <c r="D3">
        <f>VLOOKUP(B3,'product price list'!$A:$F,4,FALSE)</f>
        <v>289.5</v>
      </c>
      <c r="E3">
        <f t="shared" ref="E3:E20" si="0">C3*D3</f>
        <v>5500.5</v>
      </c>
    </row>
    <row r="4" spans="1:5" ht="15.75">
      <c r="A4" s="2">
        <v>45691</v>
      </c>
      <c r="B4" s="3" t="s">
        <v>7</v>
      </c>
      <c r="C4">
        <v>7</v>
      </c>
      <c r="D4">
        <f>VLOOKUP(B4,'product price list'!$A:$F,4,FALSE)</f>
        <v>243</v>
      </c>
      <c r="E4">
        <f t="shared" si="0"/>
        <v>1701</v>
      </c>
    </row>
    <row r="5" spans="1:5" ht="15.75">
      <c r="A5" s="2">
        <v>45692</v>
      </c>
      <c r="B5" s="3" t="s">
        <v>8</v>
      </c>
      <c r="C5">
        <v>15</v>
      </c>
      <c r="D5">
        <f>VLOOKUP(B5,'product price list'!$A:$F,4,FALSE)</f>
        <v>601.5</v>
      </c>
      <c r="E5">
        <f t="shared" si="0"/>
        <v>9022.5</v>
      </c>
    </row>
    <row r="6" spans="1:5" ht="15.75">
      <c r="A6" s="2">
        <v>45693</v>
      </c>
      <c r="B6" s="3" t="s">
        <v>9</v>
      </c>
      <c r="C6">
        <v>20</v>
      </c>
      <c r="D6">
        <f>VLOOKUP(B6,'product price list'!$A:$F,4,FALSE)</f>
        <v>165</v>
      </c>
      <c r="E6">
        <f t="shared" si="0"/>
        <v>3300</v>
      </c>
    </row>
    <row r="7" spans="1:5" ht="15.75">
      <c r="A7" s="2">
        <v>45694</v>
      </c>
      <c r="B7" s="3" t="s">
        <v>10</v>
      </c>
      <c r="C7">
        <v>5</v>
      </c>
      <c r="D7">
        <f>VLOOKUP(B7,'product price list'!$A:$F,4,FALSE)</f>
        <v>601.5</v>
      </c>
      <c r="E7">
        <f t="shared" si="0"/>
        <v>3007.5</v>
      </c>
    </row>
    <row r="8" spans="1:5" ht="15.75">
      <c r="A8" s="2">
        <v>45695</v>
      </c>
      <c r="B8" s="3" t="s">
        <v>11</v>
      </c>
      <c r="C8">
        <v>17</v>
      </c>
      <c r="D8">
        <f>VLOOKUP(B8,'product price list'!$A:$F,4,FALSE)</f>
        <v>561</v>
      </c>
      <c r="E8">
        <f t="shared" si="0"/>
        <v>9537</v>
      </c>
    </row>
    <row r="9" spans="1:5" ht="15.75">
      <c r="A9" s="2">
        <v>45696</v>
      </c>
      <c r="B9" s="3" t="s">
        <v>12</v>
      </c>
      <c r="C9">
        <v>11</v>
      </c>
      <c r="D9">
        <f>VLOOKUP(B9,'product price list'!$A:$F,4,FALSE)</f>
        <v>373.5</v>
      </c>
      <c r="E9">
        <f t="shared" si="0"/>
        <v>4108.5</v>
      </c>
    </row>
    <row r="10" spans="1:5" ht="15.75">
      <c r="A10" s="2">
        <v>45697</v>
      </c>
      <c r="B10" s="3" t="s">
        <v>13</v>
      </c>
      <c r="C10">
        <v>3</v>
      </c>
      <c r="D10">
        <f>VLOOKUP(B10,'product price list'!$A:$F,4,FALSE)</f>
        <v>475.5</v>
      </c>
      <c r="E10">
        <f t="shared" si="0"/>
        <v>1426.5</v>
      </c>
    </row>
    <row r="11" spans="1:5" ht="15.75">
      <c r="A11" s="2">
        <v>45698</v>
      </c>
      <c r="B11" s="3" t="s">
        <v>14</v>
      </c>
      <c r="C11">
        <v>12</v>
      </c>
      <c r="D11">
        <f>VLOOKUP(B11,'product price list'!$A:$F,4,FALSE)</f>
        <v>735</v>
      </c>
      <c r="E11">
        <f t="shared" si="0"/>
        <v>8820</v>
      </c>
    </row>
    <row r="12" spans="1:5" ht="15.75">
      <c r="A12" s="2">
        <v>45699</v>
      </c>
      <c r="B12" s="3" t="s">
        <v>15</v>
      </c>
      <c r="C12">
        <v>10</v>
      </c>
      <c r="D12">
        <f>VLOOKUP(B12,'product price list'!$A:$F,4,FALSE)</f>
        <v>313.5</v>
      </c>
      <c r="E12">
        <f t="shared" si="0"/>
        <v>3135</v>
      </c>
    </row>
    <row r="13" spans="1:5" ht="15.75">
      <c r="A13" s="2">
        <v>45700</v>
      </c>
      <c r="B13" s="3" t="s">
        <v>16</v>
      </c>
      <c r="C13">
        <v>9</v>
      </c>
      <c r="D13">
        <f>VLOOKUP(B13,'product price list'!$A:$F,4,FALSE)</f>
        <v>727.5</v>
      </c>
      <c r="E13">
        <f t="shared" si="0"/>
        <v>6547.5</v>
      </c>
    </row>
    <row r="14" spans="1:5" ht="15.75">
      <c r="A14" s="2">
        <v>45701</v>
      </c>
      <c r="B14" s="3" t="s">
        <v>17</v>
      </c>
      <c r="C14">
        <v>10</v>
      </c>
      <c r="D14">
        <f>VLOOKUP(B14,'product price list'!$A:$F,4,FALSE)</f>
        <v>525</v>
      </c>
      <c r="E14">
        <f t="shared" si="0"/>
        <v>5250</v>
      </c>
    </row>
    <row r="15" spans="1:5" ht="15.75">
      <c r="A15" s="2">
        <v>45702</v>
      </c>
      <c r="B15" s="3" t="s">
        <v>18</v>
      </c>
      <c r="C15">
        <v>4</v>
      </c>
      <c r="D15">
        <f>VLOOKUP(B15,'product price list'!$A:$F,4,FALSE)</f>
        <v>718.5</v>
      </c>
      <c r="E15">
        <f t="shared" si="0"/>
        <v>2874</v>
      </c>
    </row>
    <row r="16" spans="1:5" ht="15.75">
      <c r="A16" s="2">
        <v>45703</v>
      </c>
      <c r="B16" s="3" t="s">
        <v>19</v>
      </c>
      <c r="C16">
        <v>20</v>
      </c>
      <c r="D16">
        <f>VLOOKUP(B16,'product price list'!$A:$F,4,FALSE)</f>
        <v>468</v>
      </c>
      <c r="E16">
        <f t="shared" si="0"/>
        <v>9360</v>
      </c>
    </row>
    <row r="17" spans="1:5" ht="15.75">
      <c r="A17" s="2">
        <v>45704</v>
      </c>
      <c r="B17" s="3" t="s">
        <v>20</v>
      </c>
      <c r="C17">
        <v>3</v>
      </c>
      <c r="D17">
        <f>VLOOKUP(B17,'product price list'!$A:$F,4,FALSE)</f>
        <v>181.5</v>
      </c>
      <c r="E17">
        <f t="shared" si="0"/>
        <v>544.5</v>
      </c>
    </row>
    <row r="18" spans="1:5" ht="15.75">
      <c r="A18" s="2">
        <v>45705</v>
      </c>
      <c r="B18" s="3" t="s">
        <v>21</v>
      </c>
      <c r="C18">
        <v>18</v>
      </c>
      <c r="D18">
        <f>VLOOKUP(B18,'product price list'!$A:$F,4,FALSE)</f>
        <v>274.5</v>
      </c>
      <c r="E18">
        <f t="shared" si="0"/>
        <v>4941</v>
      </c>
    </row>
    <row r="19" spans="1:5" ht="15.75">
      <c r="A19" s="2">
        <v>45706</v>
      </c>
      <c r="B19" s="3" t="s">
        <v>22</v>
      </c>
      <c r="C19">
        <v>17</v>
      </c>
      <c r="D19">
        <f>VLOOKUP(B19,'product price list'!$A:$F,4,FALSE)</f>
        <v>124.5</v>
      </c>
      <c r="E19">
        <f t="shared" si="0"/>
        <v>2116.5</v>
      </c>
    </row>
    <row r="20" spans="1:5" ht="15.75">
      <c r="A20" s="2">
        <v>45707</v>
      </c>
      <c r="B20" s="3" t="s">
        <v>23</v>
      </c>
      <c r="C20">
        <v>13</v>
      </c>
      <c r="D20">
        <f>VLOOKUP(B20,'product price list'!$A:$F,4,FALSE)</f>
        <v>631.5</v>
      </c>
      <c r="E20">
        <f t="shared" si="0"/>
        <v>8209.5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3:B23"/>
  <sheetViews>
    <sheetView tabSelected="1" workbookViewId="0">
      <selection activeCell="A5" sqref="A4:A22"/>
    </sheetView>
  </sheetViews>
  <sheetFormatPr defaultRowHeight="15"/>
  <cols>
    <col min="1" max="1" width="20" customWidth="1"/>
    <col min="2" max="2" width="22.42578125" bestFit="1" customWidth="1"/>
    <col min="3" max="3" width="20.42578125" bestFit="1" customWidth="1"/>
  </cols>
  <sheetData>
    <row r="3" spans="1:2">
      <c r="A3" s="4" t="s">
        <v>30</v>
      </c>
      <c r="B3" t="s">
        <v>32</v>
      </c>
    </row>
    <row r="4" spans="1:2">
      <c r="A4" s="5" t="s">
        <v>20</v>
      </c>
      <c r="B4" s="6">
        <v>544.5</v>
      </c>
    </row>
    <row r="5" spans="1:2">
      <c r="A5" s="5" t="s">
        <v>6</v>
      </c>
      <c r="B5" s="6">
        <v>5500.5</v>
      </c>
    </row>
    <row r="6" spans="1:2">
      <c r="A6" s="5" t="s">
        <v>17</v>
      </c>
      <c r="B6" s="6">
        <v>5250</v>
      </c>
    </row>
    <row r="7" spans="1:2">
      <c r="A7" s="5" t="s">
        <v>23</v>
      </c>
      <c r="B7" s="6">
        <v>8209.5</v>
      </c>
    </row>
    <row r="8" spans="1:2">
      <c r="A8" s="5" t="s">
        <v>5</v>
      </c>
      <c r="B8" s="6">
        <v>2817</v>
      </c>
    </row>
    <row r="9" spans="1:2">
      <c r="A9" s="5" t="s">
        <v>7</v>
      </c>
      <c r="B9" s="6">
        <v>1701</v>
      </c>
    </row>
    <row r="10" spans="1:2">
      <c r="A10" s="5" t="s">
        <v>10</v>
      </c>
      <c r="B10" s="6">
        <v>3007.5</v>
      </c>
    </row>
    <row r="11" spans="1:2">
      <c r="A11" s="5" t="s">
        <v>16</v>
      </c>
      <c r="B11" s="6">
        <v>6547.5</v>
      </c>
    </row>
    <row r="12" spans="1:2">
      <c r="A12" s="5" t="s">
        <v>8</v>
      </c>
      <c r="B12" s="6">
        <v>9022.5</v>
      </c>
    </row>
    <row r="13" spans="1:2">
      <c r="A13" s="5" t="s">
        <v>15</v>
      </c>
      <c r="B13" s="6">
        <v>3135</v>
      </c>
    </row>
    <row r="14" spans="1:2">
      <c r="A14" s="5" t="s">
        <v>13</v>
      </c>
      <c r="B14" s="6">
        <v>1426.5</v>
      </c>
    </row>
    <row r="15" spans="1:2">
      <c r="A15" s="5" t="s">
        <v>22</v>
      </c>
      <c r="B15" s="6">
        <v>2116.5</v>
      </c>
    </row>
    <row r="16" spans="1:2">
      <c r="A16" s="5" t="s">
        <v>11</v>
      </c>
      <c r="B16" s="6">
        <v>9537</v>
      </c>
    </row>
    <row r="17" spans="1:2">
      <c r="A17" s="5" t="s">
        <v>12</v>
      </c>
      <c r="B17" s="6">
        <v>4108.5</v>
      </c>
    </row>
    <row r="18" spans="1:2">
      <c r="A18" s="5" t="s">
        <v>21</v>
      </c>
      <c r="B18" s="6">
        <v>4941</v>
      </c>
    </row>
    <row r="19" spans="1:2">
      <c r="A19" s="5" t="s">
        <v>18</v>
      </c>
      <c r="B19" s="6">
        <v>2874</v>
      </c>
    </row>
    <row r="20" spans="1:2">
      <c r="A20" s="5" t="s">
        <v>9</v>
      </c>
      <c r="B20" s="6">
        <v>3300</v>
      </c>
    </row>
    <row r="21" spans="1:2">
      <c r="A21" s="5" t="s">
        <v>19</v>
      </c>
      <c r="B21" s="6">
        <v>9360</v>
      </c>
    </row>
    <row r="22" spans="1:2">
      <c r="A22" s="5" t="s">
        <v>14</v>
      </c>
      <c r="B22" s="6">
        <v>8820</v>
      </c>
    </row>
    <row r="23" spans="1:2">
      <c r="A23" s="5" t="s">
        <v>31</v>
      </c>
      <c r="B23" s="6">
        <v>92218.5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price list</vt:lpstr>
      <vt:lpstr>DAILY SALES ENTRY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rafia</dc:creator>
  <cp:lastModifiedBy>rafia</cp:lastModifiedBy>
  <dcterms:created xsi:type="dcterms:W3CDTF">2015-06-05T18:17:20Z</dcterms:created>
  <dcterms:modified xsi:type="dcterms:W3CDTF">2025-11-07T08:36:19Z</dcterms:modified>
</cp:coreProperties>
</file>